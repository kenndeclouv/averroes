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1866E11-4F79-4579-AC1C-119A7FCAC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USTUS 26" sheetId="61" r:id="rId1"/>
  </sheets>
  <definedNames>
    <definedName name="_xlnm.Print_Area" localSheetId="0">'AGUSTUS 26'!$A$1:$Z$31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61" l="1"/>
  <c r="V30" i="61" l="1"/>
  <c r="P30" i="61"/>
  <c r="N30" i="61"/>
  <c r="M30" i="61"/>
  <c r="L30" i="61"/>
  <c r="K30" i="61"/>
  <c r="I30" i="61"/>
  <c r="H30" i="61"/>
  <c r="G30" i="61"/>
  <c r="R29" i="61"/>
  <c r="U29" i="61" s="1"/>
  <c r="W29" i="61" s="1"/>
  <c r="J29" i="61"/>
  <c r="R28" i="61"/>
  <c r="U28" i="61" s="1"/>
  <c r="W28" i="61" s="1"/>
  <c r="J28" i="61"/>
  <c r="R27" i="61"/>
  <c r="U27" i="61" s="1"/>
  <c r="W27" i="61" s="1"/>
  <c r="J27" i="61"/>
  <c r="R26" i="61"/>
  <c r="J26" i="61"/>
  <c r="U25" i="61"/>
  <c r="W25" i="61" s="1"/>
  <c r="J25" i="61"/>
  <c r="V21" i="61"/>
  <c r="T21" i="61"/>
  <c r="S21" i="61"/>
  <c r="R21" i="61"/>
  <c r="N21" i="61"/>
  <c r="M21" i="61"/>
  <c r="O20" i="61"/>
  <c r="Q20" i="61" s="1"/>
  <c r="J20" i="61"/>
  <c r="L20" i="61" s="1"/>
  <c r="O19" i="61"/>
  <c r="Q19" i="61" s="1"/>
  <c r="J19" i="61"/>
  <c r="L19" i="61" s="1"/>
  <c r="Q18" i="61"/>
  <c r="J18" i="61"/>
  <c r="L18" i="61" s="1"/>
  <c r="V15" i="61"/>
  <c r="T15" i="61"/>
  <c r="S15" i="61"/>
  <c r="R15" i="61"/>
  <c r="N15" i="61"/>
  <c r="M15" i="61"/>
  <c r="I15" i="61"/>
  <c r="I21" i="61" s="1"/>
  <c r="H15" i="61"/>
  <c r="H21" i="61" s="1"/>
  <c r="G15" i="61"/>
  <c r="G21" i="61" s="1"/>
  <c r="O14" i="61"/>
  <c r="Q14" i="61" s="1"/>
  <c r="J14" i="61"/>
  <c r="O13" i="61"/>
  <c r="Q13" i="61" s="1"/>
  <c r="J13" i="61"/>
  <c r="L13" i="61" s="1"/>
  <c r="V10" i="61"/>
  <c r="T10" i="61"/>
  <c r="S10" i="61"/>
  <c r="R10" i="61"/>
  <c r="N10" i="61"/>
  <c r="M10" i="61"/>
  <c r="I10" i="61"/>
  <c r="H10" i="61"/>
  <c r="G10" i="61"/>
  <c r="AL9" i="61"/>
  <c r="AK9" i="61"/>
  <c r="AJ9" i="61"/>
  <c r="AI9" i="61"/>
  <c r="AH9" i="61"/>
  <c r="AG9" i="61"/>
  <c r="AF9" i="61"/>
  <c r="AE9" i="61"/>
  <c r="Q9" i="61"/>
  <c r="O9" i="61"/>
  <c r="J9" i="61"/>
  <c r="AM8" i="61"/>
  <c r="O8" i="61"/>
  <c r="Q8" i="61" s="1"/>
  <c r="J8" i="61"/>
  <c r="AM7" i="61"/>
  <c r="O7" i="61"/>
  <c r="J7" i="61"/>
  <c r="K7" i="61" s="1"/>
  <c r="AM6" i="61"/>
  <c r="AM5" i="61"/>
  <c r="AM4" i="61"/>
  <c r="Q15" i="61" l="1"/>
  <c r="K14" i="61"/>
  <c r="L14" i="61"/>
  <c r="Q7" i="61"/>
  <c r="Q10" i="61" s="1"/>
  <c r="O10" i="61"/>
  <c r="J30" i="61"/>
  <c r="J10" i="61"/>
  <c r="K8" i="61"/>
  <c r="K18" i="61"/>
  <c r="L9" i="61"/>
  <c r="U9" i="61" s="1"/>
  <c r="W9" i="61" s="1"/>
  <c r="K9" i="61"/>
  <c r="AM9" i="61"/>
  <c r="K20" i="61"/>
  <c r="V31" i="61"/>
  <c r="U20" i="61"/>
  <c r="W20" i="61" s="1"/>
  <c r="U19" i="61"/>
  <c r="W19" i="61" s="1"/>
  <c r="R30" i="61"/>
  <c r="U13" i="61"/>
  <c r="Q21" i="61"/>
  <c r="U18" i="61"/>
  <c r="O21" i="61"/>
  <c r="U26" i="61"/>
  <c r="W26" i="61" s="1"/>
  <c r="W30" i="61" s="1"/>
  <c r="K19" i="61"/>
  <c r="J15" i="61"/>
  <c r="J21" i="61" s="1"/>
  <c r="O15" i="61"/>
  <c r="L8" i="61"/>
  <c r="U8" i="61" s="1"/>
  <c r="W8" i="61" s="1"/>
  <c r="L7" i="61"/>
  <c r="K13" i="61"/>
  <c r="U14" i="61" l="1"/>
  <c r="L15" i="61"/>
  <c r="L21" i="61" s="1"/>
  <c r="K10" i="61"/>
  <c r="W18" i="61"/>
  <c r="U21" i="61"/>
  <c r="W21" i="61" s="1"/>
  <c r="K15" i="61"/>
  <c r="K21" i="61" s="1"/>
  <c r="U30" i="61"/>
  <c r="L10" i="61"/>
  <c r="U7" i="61"/>
  <c r="W13" i="61"/>
  <c r="W14" i="61" l="1"/>
  <c r="W15" i="61" s="1"/>
  <c r="U15" i="61"/>
  <c r="W7" i="61"/>
  <c r="W10" i="61" s="1"/>
  <c r="W31" i="61" s="1"/>
  <c r="U10" i="61"/>
  <c r="U31" i="61" l="1"/>
  <c r="D1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DEKSTOP</author>
  </authors>
  <commentList>
    <comment ref="AG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DEKSTOP:</t>
        </r>
        <r>
          <rPr>
            <sz val="9"/>
            <color indexed="81"/>
            <rFont val="Tahoma"/>
            <family val="2"/>
          </rPr>
          <t xml:space="preserve">
persiapan kue </t>
        </r>
      </text>
    </comment>
    <comment ref="AH8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DEKSTOP:</t>
        </r>
        <r>
          <rPr>
            <sz val="9"/>
            <color indexed="81"/>
            <rFont val="Tahoma"/>
            <family val="2"/>
          </rPr>
          <t xml:space="preserve">
2 x 50.000</t>
        </r>
      </text>
    </comment>
    <comment ref="P27" authorId="0" shapeId="0" xr:uid="{00000000-0006-0000-0A00-000003000000}">
      <text>
        <r>
          <rPr>
            <b/>
            <sz val="9"/>
            <color indexed="81"/>
            <rFont val="Tahoma"/>
            <charset val="1"/>
          </rPr>
          <t>DEKSTOP:</t>
        </r>
        <r>
          <rPr>
            <sz val="9"/>
            <color indexed="81"/>
            <rFont val="Tahoma"/>
            <charset val="1"/>
          </rPr>
          <t xml:space="preserve">
tambahaan 24 juli 26 yang terlewatkan 2 jp n agustus 4 jp total 6 jp </t>
        </r>
      </text>
    </comment>
  </commentList>
</comments>
</file>

<file path=xl/sharedStrings.xml><?xml version="1.0" encoding="utf-8"?>
<sst xmlns="http://schemas.openxmlformats.org/spreadsheetml/2006/main" count="206" uniqueCount="109">
  <si>
    <t>NO</t>
  </si>
  <si>
    <t>NAMA</t>
  </si>
  <si>
    <t>Rujian Khairi</t>
  </si>
  <si>
    <t>Muhammad Zainal Fatah</t>
  </si>
  <si>
    <t>Fungsional</t>
  </si>
  <si>
    <t>TOTAL</t>
  </si>
  <si>
    <t>Kepala Sekolah</t>
  </si>
  <si>
    <t>AMANAH FUNGSIONAL</t>
  </si>
  <si>
    <t>RINCIAN KAFALAH</t>
  </si>
  <si>
    <t>Mengajar</t>
  </si>
  <si>
    <t>Transport</t>
  </si>
  <si>
    <t>Gaji Pokok</t>
  </si>
  <si>
    <t>TOTAL KAFALAH</t>
  </si>
  <si>
    <t>Rafif Naufal Surya Atta</t>
  </si>
  <si>
    <t>Yusufa Ichlasul Amal Lc</t>
  </si>
  <si>
    <t>Media</t>
  </si>
  <si>
    <t>AMANAH MENGAJAR</t>
  </si>
  <si>
    <t xml:space="preserve">Musrif </t>
  </si>
  <si>
    <t>KEHADIRAN</t>
  </si>
  <si>
    <t>IZIN</t>
  </si>
  <si>
    <t>SAKIT</t>
  </si>
  <si>
    <t>ALPHA</t>
  </si>
  <si>
    <t>AMANAH MENGAJAR (JP/PEKAN)</t>
  </si>
  <si>
    <t>SDM INTERNAL</t>
  </si>
  <si>
    <t>SDM EKSTERNAL</t>
  </si>
  <si>
    <t>AMANAH MENGAJAR (JP/BULAN)</t>
  </si>
  <si>
    <t>REALISASI MENGAJAR (JP/BULAN)</t>
  </si>
  <si>
    <t>KAFALAH MENGAJAR</t>
  </si>
  <si>
    <t>HARI EFEKTIF KERJA</t>
  </si>
  <si>
    <t>POTONGAN</t>
  </si>
  <si>
    <t>KAFALAH @JP</t>
  </si>
  <si>
    <t>Tambahan / Kegiatan</t>
  </si>
  <si>
    <t xml:space="preserve">TOTAL KAFALAH DAN TAMBAH KEGIATAN </t>
  </si>
  <si>
    <t>HARI LIBUR</t>
  </si>
  <si>
    <t xml:space="preserve">Kafalah </t>
  </si>
  <si>
    <t>Ita Rahayuningsih</t>
  </si>
  <si>
    <t>Admin dan Keuangan</t>
  </si>
  <si>
    <t>1 Hari</t>
  </si>
  <si>
    <t xml:space="preserve">TOTAL TIDAK HADIR </t>
  </si>
  <si>
    <t xml:space="preserve">Mengantikan JP </t>
  </si>
  <si>
    <t>4 Hari</t>
  </si>
  <si>
    <t xml:space="preserve">Catatan </t>
  </si>
  <si>
    <t>Guru Part Time Matematika &amp; IPA (Sabtu)</t>
  </si>
  <si>
    <t xml:space="preserve">Tim Managemen </t>
  </si>
  <si>
    <t xml:space="preserve"> BSI </t>
  </si>
  <si>
    <t>BSI</t>
  </si>
  <si>
    <t>BCA</t>
  </si>
  <si>
    <t>8442801350</t>
  </si>
  <si>
    <t xml:space="preserve">NO REKENING </t>
  </si>
  <si>
    <t>BANK</t>
  </si>
  <si>
    <t xml:space="preserve">Ramzi </t>
  </si>
  <si>
    <t xml:space="preserve">Tambahan / Kegiatan </t>
  </si>
  <si>
    <t>TAMBAHAN</t>
  </si>
  <si>
    <t>19 Hari</t>
  </si>
  <si>
    <t>3 Hari</t>
  </si>
  <si>
    <t xml:space="preserve">A. </t>
  </si>
  <si>
    <t>USULAN KAFALAH LAIN</t>
  </si>
  <si>
    <t>AMANAH TAMBAHAN</t>
  </si>
  <si>
    <t>Ita R</t>
  </si>
  <si>
    <t>Rafif N S A</t>
  </si>
  <si>
    <t>Total</t>
  </si>
  <si>
    <t xml:space="preserve">Aqdam </t>
  </si>
  <si>
    <t>Nanang maulana</t>
  </si>
  <si>
    <t xml:space="preserve">Ahmad Faidly Romdloni </t>
  </si>
  <si>
    <t>Waka Sarana dan prasaran</t>
  </si>
  <si>
    <t xml:space="preserve">Operator dan TU </t>
  </si>
  <si>
    <t>31 HARI</t>
  </si>
  <si>
    <t xml:space="preserve">Wawancara santri Baru </t>
  </si>
  <si>
    <t>Nanang</t>
  </si>
  <si>
    <t>M. Z Fatah</t>
  </si>
  <si>
    <t>FAID</t>
  </si>
  <si>
    <t xml:space="preserve">Persiapan penerimaan murid baru </t>
  </si>
  <si>
    <t xml:space="preserve">Hadir penerimaan murid baru </t>
  </si>
  <si>
    <t xml:space="preserve">Mabit Saptu Minggu </t>
  </si>
  <si>
    <t xml:space="preserve">karate </t>
  </si>
  <si>
    <t>Waka Kurikulum</t>
  </si>
  <si>
    <t>Guru Khusus Diniyah (Jumat)</t>
  </si>
  <si>
    <t xml:space="preserve">TOTAL </t>
  </si>
  <si>
    <t xml:space="preserve">BADAL </t>
  </si>
  <si>
    <t>TOTAL JP</t>
  </si>
  <si>
    <t xml:space="preserve">JP REGULER DAN BADAL </t>
  </si>
  <si>
    <t xml:space="preserve">Irwansyah </t>
  </si>
  <si>
    <t xml:space="preserve">Sigit Pratama </t>
  </si>
  <si>
    <t>Muhammad Ken Izzulhaq</t>
  </si>
  <si>
    <t xml:space="preserve">15  Hari </t>
  </si>
  <si>
    <t>Nur Huda Akhyari</t>
  </si>
  <si>
    <t>Guru Part Time Olahraga  (Jum'at)</t>
  </si>
  <si>
    <t xml:space="preserve">Guru Part Bahasa Inggris &amp; Sejarah  </t>
  </si>
  <si>
    <t>Guru Part RPL</t>
  </si>
  <si>
    <t xml:space="preserve">Yutsabitul Aqdam </t>
  </si>
  <si>
    <t>SIMULASI / USULAN KAFALAH BULAN  AGUSTUS 2026 - AVERROES DIGITAL ISLAMIC SCHOOL</t>
  </si>
  <si>
    <t>4. Irwan - Izin 0 - JP 6 - PJ Lomba Basket - Upacara 17 Agustus Hadir.</t>
  </si>
  <si>
    <t>5. Aqdam - izin 0 - JP 6 - Upacara 17 Agustus hadir</t>
  </si>
  <si>
    <t xml:space="preserve">1. Rujian - ijin 0 JP 27  - PJ Lomba Cerdas Cermat n upacara 17 Agustus </t>
  </si>
  <si>
    <t>2. Fatah - izin 1 - JP 50 - PJ dokumentasi lomba agustus, PJ lomba poster- upacara hadir PJ dokumentasi</t>
  </si>
  <si>
    <t xml:space="preserve">3. Ita ijin 0 Lembur laporan pajak </t>
  </si>
  <si>
    <t xml:space="preserve">7.  Nanang Izin 1, JP 12, badal 0, PJ lomba corong </t>
  </si>
  <si>
    <t xml:space="preserve">8. Faid ijin 0 JP 69 PJ lomba puisi bahasa arab dan  upacara 17 Agustus  </t>
  </si>
  <si>
    <t>6.   Ramzi Ijin 0 Normal  JP 4 ,badal  tambahan  lomba  agustusan Pj lomba futsal dan upacara 17 agustus hadir</t>
  </si>
  <si>
    <t>1. ⁠yusuf total  3 JP</t>
  </si>
  <si>
    <t xml:space="preserve">4. ⁠Rafif Naufal  total 52 JP + 1 Ekstra Karate </t>
  </si>
  <si>
    <t>5.Muhammad  ken total  28 JP</t>
  </si>
  <si>
    <t xml:space="preserve">pengajar external </t>
  </si>
  <si>
    <t>B</t>
  </si>
  <si>
    <t xml:space="preserve">2.  Nama Sigit Pramana JP  5 x 4 JP total 20 jP </t>
  </si>
  <si>
    <t xml:space="preserve">Fungsional </t>
  </si>
  <si>
    <t>Musyrif</t>
  </si>
  <si>
    <t xml:space="preserve">3. Nur Huda Akhyari total  4 jp bulan  Agustus  plus 2 JP yang terlewat tgl 24 Juli total 6 JP yang harus dibayar dibulan Agustus </t>
  </si>
  <si>
    <t xml:space="preserve"> (untuk  bulan juli 31 juli telah  dibayar 2 JP 70.000 sisa yang belum terbayar 24 juli karena terlewatkan 2 JP)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</si>
</sst>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p&quot;#,##0.00;[Red]\-&quot;Rp&quot;#,##0.00"/>
    <numFmt numFmtId="42" formatCode="_-&quot;Rp&quot;* #,##0_-;\-&quot;Rp&quot;* #,##0_-;_-&quot;Rp&quot;* &quot;-&quot;_-;_-@_-"/>
  </numFmts>
  <fonts count="1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6" fillId="0" borderId="0" applyFont="0" applyFill="0" applyBorder="0" applyAlignment="0" applyProtection="0"/>
  </cellStyleXfs>
  <cellXfs count="1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42" fontId="0" fillId="0" borderId="8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42" fontId="0" fillId="0" borderId="1" xfId="0" quotePrefix="1" applyNumberFormat="1" applyBorder="1" applyAlignment="1">
      <alignment horizontal="center"/>
    </xf>
    <xf numFmtId="42" fontId="0" fillId="0" borderId="8" xfId="0" applyNumberFormat="1" applyBorder="1" applyAlignment="1">
      <alignment horizontal="center"/>
    </xf>
    <xf numFmtId="42" fontId="0" fillId="0" borderId="8" xfId="0" applyNumberFormat="1" applyBorder="1"/>
    <xf numFmtId="0" fontId="2" fillId="4" borderId="1" xfId="0" quotePrefix="1" applyFont="1" applyFill="1" applyBorder="1" applyAlignment="1">
      <alignment horizontal="center"/>
    </xf>
    <xf numFmtId="42" fontId="2" fillId="4" borderId="1" xfId="0" quotePrefix="1" applyNumberFormat="1" applyFont="1" applyFill="1" applyBorder="1" applyAlignment="1">
      <alignment horizontal="center"/>
    </xf>
    <xf numFmtId="42" fontId="2" fillId="4" borderId="1" xfId="1" quotePrefix="1" applyFon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42" fontId="0" fillId="0" borderId="2" xfId="0" applyNumberFormat="1" applyBorder="1"/>
    <xf numFmtId="42" fontId="0" fillId="0" borderId="2" xfId="0" applyNumberFormat="1" applyBorder="1" applyAlignment="1">
      <alignment vertical="center"/>
    </xf>
    <xf numFmtId="42" fontId="0" fillId="7" borderId="8" xfId="0" applyNumberFormat="1" applyFill="1" applyBorder="1"/>
    <xf numFmtId="0" fontId="0" fillId="7" borderId="0" xfId="0" applyFill="1"/>
    <xf numFmtId="0" fontId="0" fillId="7" borderId="1" xfId="0" quotePrefix="1" applyFill="1" applyBorder="1" applyAlignment="1">
      <alignment horizontal="center"/>
    </xf>
    <xf numFmtId="42" fontId="2" fillId="7" borderId="0" xfId="1" quotePrefix="1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 vertical="center" wrapText="1"/>
    </xf>
    <xf numFmtId="42" fontId="0" fillId="7" borderId="1" xfId="0" applyNumberFormat="1" applyFill="1" applyBorder="1"/>
    <xf numFmtId="42" fontId="0" fillId="8" borderId="3" xfId="0" applyNumberFormat="1" applyFill="1" applyBorder="1" applyAlignment="1">
      <alignment horizontal="center" vertical="center"/>
    </xf>
    <xf numFmtId="42" fontId="0" fillId="8" borderId="1" xfId="0" applyNumberFormat="1" applyFill="1" applyBorder="1"/>
    <xf numFmtId="42" fontId="0" fillId="8" borderId="8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1" fillId="7" borderId="1" xfId="0" applyFont="1" applyFill="1" applyBorder="1" applyAlignment="1">
      <alignment horizontal="center" vertical="center" wrapText="1"/>
    </xf>
    <xf numFmtId="42" fontId="2" fillId="7" borderId="1" xfId="0" quotePrefix="1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42" fontId="5" fillId="4" borderId="1" xfId="0" quotePrefix="1" applyNumberFormat="1" applyFont="1" applyFill="1" applyBorder="1" applyAlignment="1">
      <alignment horizontal="center"/>
    </xf>
    <xf numFmtId="0" fontId="5" fillId="4" borderId="1" xfId="0" quotePrefix="1" applyFont="1" applyFill="1" applyBorder="1" applyAlignment="1">
      <alignment horizontal="center"/>
    </xf>
    <xf numFmtId="42" fontId="5" fillId="4" borderId="1" xfId="1" quotePrefix="1" applyFont="1" applyFill="1" applyBorder="1" applyAlignment="1">
      <alignment horizontal="center"/>
    </xf>
    <xf numFmtId="42" fontId="5" fillId="4" borderId="2" xfId="1" quotePrefix="1" applyFont="1" applyFill="1" applyBorder="1" applyAlignment="1">
      <alignment horizontal="center"/>
    </xf>
    <xf numFmtId="42" fontId="0" fillId="8" borderId="8" xfId="0" applyNumberFormat="1" applyFill="1" applyBorder="1"/>
    <xf numFmtId="0" fontId="0" fillId="8" borderId="1" xfId="0" applyFill="1" applyBorder="1" applyAlignment="1">
      <alignment horizontal="center"/>
    </xf>
    <xf numFmtId="42" fontId="0" fillId="7" borderId="1" xfId="0" quotePrefix="1" applyNumberFormat="1" applyFill="1" applyBorder="1" applyAlignment="1">
      <alignment horizontal="center"/>
    </xf>
    <xf numFmtId="0" fontId="1" fillId="9" borderId="0" xfId="0" applyFont="1" applyFill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42" fontId="0" fillId="9" borderId="1" xfId="0" applyNumberFormat="1" applyFill="1" applyBorder="1"/>
    <xf numFmtId="42" fontId="2" fillId="9" borderId="1" xfId="0" quotePrefix="1" applyNumberFormat="1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42" fontId="2" fillId="9" borderId="0" xfId="1" quotePrefix="1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10" fillId="0" borderId="1" xfId="0" applyFont="1" applyBorder="1"/>
    <xf numFmtId="0" fontId="11" fillId="7" borderId="1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right"/>
    </xf>
    <xf numFmtId="0" fontId="10" fillId="7" borderId="1" xfId="0" quotePrefix="1" applyFont="1" applyFill="1" applyBorder="1" applyAlignment="1">
      <alignment horizontal="right"/>
    </xf>
    <xf numFmtId="0" fontId="8" fillId="7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/>
    <xf numFmtId="3" fontId="7" fillId="7" borderId="1" xfId="0" applyNumberFormat="1" applyFont="1" applyFill="1" applyBorder="1"/>
    <xf numFmtId="0" fontId="7" fillId="7" borderId="1" xfId="0" applyFont="1" applyFill="1" applyBorder="1"/>
    <xf numFmtId="8" fontId="7" fillId="7" borderId="1" xfId="0" applyNumberFormat="1" applyFont="1" applyFill="1" applyBorder="1" applyAlignment="1">
      <alignment horizontal="left"/>
    </xf>
    <xf numFmtId="3" fontId="7" fillId="8" borderId="1" xfId="0" applyNumberFormat="1" applyFont="1" applyFill="1" applyBorder="1"/>
    <xf numFmtId="42" fontId="0" fillId="10" borderId="1" xfId="0" applyNumberFormat="1" applyFill="1" applyBorder="1"/>
    <xf numFmtId="0" fontId="12" fillId="11" borderId="1" xfId="0" applyFont="1" applyFill="1" applyBorder="1" applyAlignment="1">
      <alignment horizontal="center"/>
    </xf>
    <xf numFmtId="0" fontId="12" fillId="11" borderId="1" xfId="0" applyFont="1" applyFill="1" applyBorder="1"/>
    <xf numFmtId="0" fontId="7" fillId="7" borderId="0" xfId="0" applyFont="1" applyFill="1" applyAlignment="1">
      <alignment horizontal="center"/>
    </xf>
    <xf numFmtId="0" fontId="7" fillId="7" borderId="0" xfId="0" applyFont="1" applyFill="1"/>
    <xf numFmtId="3" fontId="7" fillId="7" borderId="0" xfId="0" applyNumberFormat="1" applyFont="1" applyFill="1"/>
    <xf numFmtId="3" fontId="12" fillId="7" borderId="0" xfId="0" applyNumberFormat="1" applyFont="1" applyFill="1"/>
    <xf numFmtId="3" fontId="12" fillId="6" borderId="1" xfId="0" applyNumberFormat="1" applyFont="1" applyFill="1" applyBorder="1"/>
    <xf numFmtId="0" fontId="9" fillId="0" borderId="1" xfId="0" quotePrefix="1" applyFont="1" applyBorder="1"/>
    <xf numFmtId="3" fontId="0" fillId="0" borderId="1" xfId="0" applyNumberFormat="1" applyBorder="1"/>
    <xf numFmtId="3" fontId="0" fillId="5" borderId="1" xfId="0" applyNumberFormat="1" applyFill="1" applyBorder="1"/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1" fillId="12" borderId="13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42" fontId="0" fillId="8" borderId="1" xfId="0" applyNumberFormat="1" applyFill="1" applyBorder="1" applyAlignment="1">
      <alignment horizontal="center" vertical="center"/>
    </xf>
    <xf numFmtId="42" fontId="0" fillId="10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0" xfId="0" applyFill="1"/>
    <xf numFmtId="42" fontId="0" fillId="0" borderId="2" xfId="0" applyNumberFormat="1" applyBorder="1" applyAlignment="1">
      <alignment horizontal="center" vertical="center"/>
    </xf>
    <xf numFmtId="42" fontId="0" fillId="0" borderId="7" xfId="0" applyNumberFormat="1" applyBorder="1" applyAlignment="1">
      <alignment horizontal="center" vertical="center"/>
    </xf>
    <xf numFmtId="42" fontId="0" fillId="0" borderId="3" xfId="0" applyNumberFormat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42" fontId="2" fillId="4" borderId="2" xfId="1" quotePrefix="1" applyFont="1" applyFill="1" applyBorder="1" applyAlignment="1">
      <alignment horizontal="center"/>
    </xf>
    <xf numFmtId="42" fontId="2" fillId="4" borderId="7" xfId="1" quotePrefix="1" applyFont="1" applyFill="1" applyBorder="1" applyAlignment="1">
      <alignment horizontal="center"/>
    </xf>
    <xf numFmtId="42" fontId="2" fillId="4" borderId="3" xfId="1" quotePrefix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tabSelected="1" topLeftCell="A17" zoomScale="85" zoomScaleNormal="85" workbookViewId="0">
      <selection activeCell="K35" sqref="K35"/>
    </sheetView>
  </sheetViews>
  <sheetFormatPr defaultRowHeight="14.4" x14ac:dyDescent="0.3"/>
  <cols>
    <col min="1" max="1" width="4.44140625" customWidth="1"/>
    <col min="3" max="3" width="26" customWidth="1"/>
    <col min="4" max="4" width="39.33203125" customWidth="1"/>
    <col min="5" max="5" width="14.44140625" customWidth="1"/>
    <col min="6" max="6" width="12.88671875" customWidth="1"/>
    <col min="7" max="10" width="7.109375" customWidth="1"/>
    <col min="11" max="11" width="14.6640625" customWidth="1"/>
    <col min="12" max="12" width="14.5546875" customWidth="1"/>
    <col min="13" max="13" width="12.33203125" customWidth="1"/>
    <col min="14" max="15" width="13.88671875" customWidth="1"/>
    <col min="16" max="16" width="14" customWidth="1"/>
    <col min="17" max="17" width="16.6640625" customWidth="1"/>
    <col min="18" max="19" width="16.88671875" customWidth="1"/>
    <col min="20" max="20" width="14.6640625" customWidth="1"/>
    <col min="21" max="21" width="17" customWidth="1"/>
    <col min="22" max="22" width="16.5546875" customWidth="1"/>
    <col min="23" max="23" width="18.5546875" customWidth="1"/>
    <col min="24" max="24" width="2" customWidth="1"/>
    <col min="25" max="25" width="25.33203125" style="22" customWidth="1"/>
    <col min="26" max="26" width="14.44140625" style="22" customWidth="1"/>
    <col min="27" max="27" width="9.109375" customWidth="1"/>
    <col min="28" max="28" width="8.109375" hidden="1" customWidth="1"/>
    <col min="29" max="29" width="32.33203125" hidden="1" customWidth="1"/>
    <col min="30" max="30" width="26.5546875" hidden="1" customWidth="1"/>
    <col min="31" max="31" width="12.33203125" hidden="1" customWidth="1"/>
    <col min="32" max="38" width="10.5546875" hidden="1" customWidth="1"/>
    <col min="39" max="41" width="0" hidden="1" customWidth="1"/>
  </cols>
  <sheetData>
    <row r="1" spans="2:39" ht="15" customHeight="1" x14ac:dyDescent="0.3">
      <c r="D1">
        <f ca="1">+B:W</f>
        <v>0</v>
      </c>
      <c r="AB1" s="132" t="s">
        <v>56</v>
      </c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</row>
    <row r="2" spans="2:39" ht="15" customHeight="1" x14ac:dyDescent="0.3">
      <c r="B2" s="135" t="s">
        <v>90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Y2" s="32"/>
      <c r="Z2" s="32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</row>
    <row r="3" spans="2:39" ht="15" customHeight="1" x14ac:dyDescent="0.3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Y3" s="32"/>
      <c r="Z3" s="32"/>
      <c r="AB3" s="73" t="s">
        <v>0</v>
      </c>
      <c r="AC3" s="137" t="s">
        <v>57</v>
      </c>
      <c r="AD3" s="137"/>
      <c r="AE3" s="73" t="s">
        <v>2</v>
      </c>
      <c r="AF3" s="73" t="s">
        <v>69</v>
      </c>
      <c r="AG3" s="73" t="s">
        <v>58</v>
      </c>
      <c r="AH3" s="73" t="s">
        <v>59</v>
      </c>
      <c r="AI3" s="73" t="s">
        <v>61</v>
      </c>
      <c r="AJ3" s="73" t="s">
        <v>50</v>
      </c>
      <c r="AK3" s="73" t="s">
        <v>70</v>
      </c>
      <c r="AL3" s="74" t="s">
        <v>68</v>
      </c>
      <c r="AM3" s="73" t="s">
        <v>77</v>
      </c>
    </row>
    <row r="4" spans="2:39" ht="15" customHeight="1" x14ac:dyDescent="0.3">
      <c r="B4" s="138" t="s">
        <v>23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Y4" s="32"/>
      <c r="Z4" s="32"/>
      <c r="AB4" s="65">
        <v>1</v>
      </c>
      <c r="AC4" s="39" t="s">
        <v>67</v>
      </c>
      <c r="AD4" s="66"/>
      <c r="AE4" s="67">
        <v>25000</v>
      </c>
      <c r="AF4" s="71">
        <v>0</v>
      </c>
      <c r="AG4" s="67">
        <v>25000</v>
      </c>
      <c r="AH4" s="71"/>
      <c r="AI4" s="71">
        <v>0</v>
      </c>
      <c r="AJ4" s="71"/>
      <c r="AK4" s="71"/>
      <c r="AL4" s="71"/>
      <c r="AM4" s="81">
        <f t="shared" ref="AM4:AM9" si="0">SUM(AE4:AL4)</f>
        <v>50000</v>
      </c>
    </row>
    <row r="5" spans="2:39" ht="15.75" customHeight="1" x14ac:dyDescent="0.3">
      <c r="B5" s="127" t="s">
        <v>0</v>
      </c>
      <c r="C5" s="127" t="s">
        <v>1</v>
      </c>
      <c r="D5" s="111" t="s">
        <v>7</v>
      </c>
      <c r="E5" s="111" t="s">
        <v>28</v>
      </c>
      <c r="F5" s="140" t="s">
        <v>18</v>
      </c>
      <c r="G5" s="141"/>
      <c r="H5" s="141"/>
      <c r="I5" s="141"/>
      <c r="J5" s="141"/>
      <c r="K5" s="142"/>
      <c r="L5" s="111" t="s">
        <v>29</v>
      </c>
      <c r="M5" s="111" t="s">
        <v>22</v>
      </c>
      <c r="N5" s="89" t="s">
        <v>78</v>
      </c>
      <c r="O5" s="87" t="s">
        <v>79</v>
      </c>
      <c r="P5" s="115" t="s">
        <v>30</v>
      </c>
      <c r="Q5" s="130" t="s">
        <v>8</v>
      </c>
      <c r="R5" s="131"/>
      <c r="S5" s="131"/>
      <c r="T5" s="131"/>
      <c r="U5" s="127" t="s">
        <v>12</v>
      </c>
      <c r="V5" s="91" t="s">
        <v>52</v>
      </c>
      <c r="W5" s="125" t="s">
        <v>32</v>
      </c>
      <c r="X5" s="51"/>
      <c r="Y5" s="33"/>
      <c r="Z5" s="33"/>
      <c r="AB5" s="65">
        <v>2</v>
      </c>
      <c r="AC5" s="39" t="s">
        <v>71</v>
      </c>
      <c r="AD5" s="66"/>
      <c r="AE5" s="67">
        <v>50000</v>
      </c>
      <c r="AF5" s="71">
        <v>0</v>
      </c>
      <c r="AG5" s="67">
        <v>25000</v>
      </c>
      <c r="AH5" s="67">
        <v>50000</v>
      </c>
      <c r="AI5" s="68">
        <v>50000</v>
      </c>
      <c r="AJ5" s="67">
        <v>50000</v>
      </c>
      <c r="AK5" s="71"/>
      <c r="AL5" s="67">
        <v>50000</v>
      </c>
      <c r="AM5" s="81">
        <f t="shared" si="0"/>
        <v>275000</v>
      </c>
    </row>
    <row r="6" spans="2:39" ht="33" customHeight="1" x14ac:dyDescent="0.3">
      <c r="B6" s="127"/>
      <c r="C6" s="127"/>
      <c r="D6" s="111"/>
      <c r="E6" s="111"/>
      <c r="F6" s="36" t="s">
        <v>33</v>
      </c>
      <c r="G6" s="37" t="s">
        <v>19</v>
      </c>
      <c r="H6" s="37" t="s">
        <v>20</v>
      </c>
      <c r="I6" s="37" t="s">
        <v>21</v>
      </c>
      <c r="J6" s="37" t="s">
        <v>5</v>
      </c>
      <c r="K6" s="25" t="s">
        <v>38</v>
      </c>
      <c r="L6" s="111"/>
      <c r="M6" s="111"/>
      <c r="N6" s="90" t="s">
        <v>39</v>
      </c>
      <c r="O6" s="88" t="s">
        <v>80</v>
      </c>
      <c r="P6" s="114"/>
      <c r="Q6" s="35" t="s">
        <v>9</v>
      </c>
      <c r="R6" s="35" t="s">
        <v>4</v>
      </c>
      <c r="S6" s="37" t="s">
        <v>10</v>
      </c>
      <c r="T6" s="37" t="s">
        <v>11</v>
      </c>
      <c r="U6" s="127"/>
      <c r="V6" s="30" t="s">
        <v>51</v>
      </c>
      <c r="W6" s="126"/>
      <c r="X6" s="52"/>
      <c r="Y6" s="36" t="s">
        <v>48</v>
      </c>
      <c r="Z6" s="36" t="s">
        <v>49</v>
      </c>
      <c r="AB6" s="65">
        <v>3</v>
      </c>
      <c r="AC6" s="39" t="s">
        <v>72</v>
      </c>
      <c r="AD6" s="66"/>
      <c r="AE6" s="67">
        <v>25000</v>
      </c>
      <c r="AF6" s="71">
        <v>0</v>
      </c>
      <c r="AG6" s="67">
        <v>25000</v>
      </c>
      <c r="AH6" s="67">
        <v>25000</v>
      </c>
      <c r="AI6" s="68">
        <v>25000</v>
      </c>
      <c r="AJ6" s="67">
        <v>25000</v>
      </c>
      <c r="AK6" s="68">
        <v>25000</v>
      </c>
      <c r="AL6" s="68">
        <v>25000</v>
      </c>
      <c r="AM6" s="81">
        <f t="shared" si="0"/>
        <v>175000</v>
      </c>
    </row>
    <row r="7" spans="2:39" ht="19.5" customHeight="1" x14ac:dyDescent="0.4">
      <c r="B7" s="2">
        <v>1</v>
      </c>
      <c r="C7" s="1" t="s">
        <v>2</v>
      </c>
      <c r="D7" s="5" t="s">
        <v>6</v>
      </c>
      <c r="E7" s="4" t="s">
        <v>53</v>
      </c>
      <c r="F7" s="4">
        <v>0</v>
      </c>
      <c r="G7" s="11">
        <v>0</v>
      </c>
      <c r="H7" s="11">
        <v>0</v>
      </c>
      <c r="I7" s="11">
        <v>0</v>
      </c>
      <c r="J7" s="11">
        <f>SUM(G7:I7)</f>
        <v>0</v>
      </c>
      <c r="K7" s="23">
        <f>F7+J7</f>
        <v>0</v>
      </c>
      <c r="L7" s="12">
        <f>J7*15000</f>
        <v>0</v>
      </c>
      <c r="M7" s="83">
        <v>27</v>
      </c>
      <c r="N7" s="28"/>
      <c r="O7" s="21">
        <f>M7+N7</f>
        <v>27</v>
      </c>
      <c r="P7" s="13">
        <v>12500</v>
      </c>
      <c r="Q7" s="21">
        <f>O7*P7</f>
        <v>337500</v>
      </c>
      <c r="R7" s="14">
        <v>2000000</v>
      </c>
      <c r="S7" s="14">
        <v>450000</v>
      </c>
      <c r="T7" s="3">
        <v>100000</v>
      </c>
      <c r="U7" s="19">
        <f>SUM(Q7:T7)-L7</f>
        <v>2887500</v>
      </c>
      <c r="V7" s="72">
        <v>75000</v>
      </c>
      <c r="W7" s="3">
        <f>SUM(U7+V7)</f>
        <v>2962500</v>
      </c>
      <c r="X7" s="53"/>
      <c r="Y7" s="58">
        <v>5524175940</v>
      </c>
      <c r="Z7" s="40" t="s">
        <v>44</v>
      </c>
      <c r="AB7" s="65">
        <v>4</v>
      </c>
      <c r="AC7" s="39" t="s">
        <v>73</v>
      </c>
      <c r="AD7" s="66"/>
      <c r="AE7" s="67">
        <v>35000</v>
      </c>
      <c r="AF7" s="71">
        <v>0</v>
      </c>
      <c r="AG7" s="71"/>
      <c r="AH7" s="67">
        <v>35000</v>
      </c>
      <c r="AI7" s="67">
        <v>35000</v>
      </c>
      <c r="AJ7" s="67">
        <v>35000</v>
      </c>
      <c r="AK7" s="68">
        <v>25000</v>
      </c>
      <c r="AL7" s="71"/>
      <c r="AM7" s="81">
        <f t="shared" si="0"/>
        <v>165000</v>
      </c>
    </row>
    <row r="8" spans="2:39" ht="19.5" customHeight="1" x14ac:dyDescent="0.4">
      <c r="B8" s="2">
        <v>2</v>
      </c>
      <c r="C8" s="1" t="s">
        <v>3</v>
      </c>
      <c r="D8" s="5" t="s">
        <v>15</v>
      </c>
      <c r="E8" s="4" t="s">
        <v>53</v>
      </c>
      <c r="F8" s="4">
        <v>0</v>
      </c>
      <c r="G8" s="11">
        <v>1</v>
      </c>
      <c r="H8" s="11">
        <v>0</v>
      </c>
      <c r="I8" s="11">
        <v>0</v>
      </c>
      <c r="J8" s="11">
        <f>SUM(G8:I8)</f>
        <v>1</v>
      </c>
      <c r="K8" s="23">
        <f>F8+J8</f>
        <v>1</v>
      </c>
      <c r="L8" s="12">
        <f>J8*15000</f>
        <v>15000</v>
      </c>
      <c r="M8" s="83">
        <v>50</v>
      </c>
      <c r="N8" s="28"/>
      <c r="O8" s="21">
        <f>M8+N8</f>
        <v>50</v>
      </c>
      <c r="P8" s="13">
        <v>12500</v>
      </c>
      <c r="Q8" s="21">
        <f>O8*P8</f>
        <v>625000</v>
      </c>
      <c r="R8" s="3">
        <v>1000000</v>
      </c>
      <c r="S8" s="14">
        <v>450000</v>
      </c>
      <c r="T8" s="3">
        <v>50000</v>
      </c>
      <c r="U8" s="19">
        <f>SUM(Q8:T8)-L8</f>
        <v>2110000</v>
      </c>
      <c r="V8" s="72">
        <v>75000</v>
      </c>
      <c r="W8" s="3">
        <f>SUM(U8+V8)</f>
        <v>2185000</v>
      </c>
      <c r="X8" s="53"/>
      <c r="Y8" s="59">
        <v>7323567896</v>
      </c>
      <c r="Z8" s="40" t="s">
        <v>45</v>
      </c>
      <c r="AB8" s="65">
        <v>5</v>
      </c>
      <c r="AC8" s="69" t="s">
        <v>74</v>
      </c>
      <c r="AD8" s="70"/>
      <c r="AE8" s="71"/>
      <c r="AF8" s="71"/>
      <c r="AG8" s="71"/>
      <c r="AH8" s="67">
        <v>100000</v>
      </c>
      <c r="AI8" s="71"/>
      <c r="AJ8" s="71"/>
      <c r="AK8" s="71"/>
      <c r="AL8" s="71"/>
      <c r="AM8" s="81">
        <f t="shared" si="0"/>
        <v>100000</v>
      </c>
    </row>
    <row r="9" spans="2:39" ht="19.5" customHeight="1" x14ac:dyDescent="0.4">
      <c r="B9" s="2">
        <v>3</v>
      </c>
      <c r="C9" s="1" t="s">
        <v>35</v>
      </c>
      <c r="D9" s="5" t="s">
        <v>36</v>
      </c>
      <c r="E9" s="4" t="s">
        <v>53</v>
      </c>
      <c r="F9" s="4">
        <v>0</v>
      </c>
      <c r="G9" s="11">
        <v>0</v>
      </c>
      <c r="H9" s="11">
        <v>0</v>
      </c>
      <c r="I9" s="11">
        <v>0</v>
      </c>
      <c r="J9" s="11">
        <f>SUM(G9:I9)</f>
        <v>0</v>
      </c>
      <c r="K9" s="23">
        <f>F9+J9</f>
        <v>0</v>
      </c>
      <c r="L9" s="50">
        <f>J9*15000</f>
        <v>0</v>
      </c>
      <c r="M9" s="49">
        <v>0</v>
      </c>
      <c r="N9" s="28"/>
      <c r="O9" s="21">
        <f>M9+N9</f>
        <v>0</v>
      </c>
      <c r="P9" s="29">
        <v>0</v>
      </c>
      <c r="Q9" s="48">
        <f>M9*P9</f>
        <v>0</v>
      </c>
      <c r="R9" s="3">
        <v>1500000</v>
      </c>
      <c r="S9" s="3">
        <v>450000</v>
      </c>
      <c r="T9" s="3">
        <v>100000</v>
      </c>
      <c r="U9" s="19">
        <f>SUM(Q9:T9)-L9</f>
        <v>2050000</v>
      </c>
      <c r="V9" s="72">
        <v>50000</v>
      </c>
      <c r="W9" s="3">
        <f>SUM(U9+V9)</f>
        <v>2100000</v>
      </c>
      <c r="X9" s="53"/>
      <c r="Y9" s="58">
        <v>7301802301</v>
      </c>
      <c r="Z9" s="40" t="s">
        <v>44</v>
      </c>
      <c r="AB9" s="134" t="s">
        <v>60</v>
      </c>
      <c r="AC9" s="134"/>
      <c r="AD9" s="134"/>
      <c r="AE9" s="79">
        <f t="shared" ref="AE9:AL9" si="1">SUM(AE4:AE8)</f>
        <v>135000</v>
      </c>
      <c r="AF9" s="79">
        <f t="shared" si="1"/>
        <v>0</v>
      </c>
      <c r="AG9" s="79">
        <f t="shared" si="1"/>
        <v>75000</v>
      </c>
      <c r="AH9" s="79">
        <f t="shared" si="1"/>
        <v>210000</v>
      </c>
      <c r="AI9" s="79">
        <f t="shared" si="1"/>
        <v>110000</v>
      </c>
      <c r="AJ9" s="79">
        <f t="shared" si="1"/>
        <v>110000</v>
      </c>
      <c r="AK9" s="79">
        <f t="shared" si="1"/>
        <v>50000</v>
      </c>
      <c r="AL9" s="79">
        <f t="shared" si="1"/>
        <v>75000</v>
      </c>
      <c r="AM9" s="82">
        <f t="shared" si="0"/>
        <v>765000</v>
      </c>
    </row>
    <row r="10" spans="2:39" ht="18" x14ac:dyDescent="0.35">
      <c r="B10" s="101" t="s">
        <v>5</v>
      </c>
      <c r="C10" s="102"/>
      <c r="D10" s="102"/>
      <c r="E10" s="103"/>
      <c r="F10" s="34"/>
      <c r="G10" s="15">
        <f t="shared" ref="G10:L10" si="2">SUM(G7:G9)</f>
        <v>1</v>
      </c>
      <c r="H10" s="15">
        <f t="shared" si="2"/>
        <v>0</v>
      </c>
      <c r="I10" s="15">
        <f t="shared" si="2"/>
        <v>0</v>
      </c>
      <c r="J10" s="15">
        <f t="shared" si="2"/>
        <v>1</v>
      </c>
      <c r="K10" s="15">
        <f t="shared" si="2"/>
        <v>1</v>
      </c>
      <c r="L10" s="44">
        <f t="shared" si="2"/>
        <v>15000</v>
      </c>
      <c r="M10" s="45">
        <f>SUM(M5:M9)</f>
        <v>77</v>
      </c>
      <c r="N10" s="44">
        <f>SUM(N7:N9)</f>
        <v>0</v>
      </c>
      <c r="O10" s="45">
        <f>SUM(O5:O9)</f>
        <v>77</v>
      </c>
      <c r="P10" s="44"/>
      <c r="Q10" s="44">
        <f t="shared" ref="Q10:W10" si="3">SUM(Q7:Q9)</f>
        <v>962500</v>
      </c>
      <c r="R10" s="44">
        <f t="shared" si="3"/>
        <v>4500000</v>
      </c>
      <c r="S10" s="44">
        <f t="shared" si="3"/>
        <v>1350000</v>
      </c>
      <c r="T10" s="44">
        <f t="shared" si="3"/>
        <v>250000</v>
      </c>
      <c r="U10" s="44">
        <f t="shared" si="3"/>
        <v>7047500</v>
      </c>
      <c r="V10" s="44">
        <f t="shared" si="3"/>
        <v>200000</v>
      </c>
      <c r="W10" s="44">
        <f t="shared" si="3"/>
        <v>7247500</v>
      </c>
      <c r="X10" s="54"/>
      <c r="Y10" s="42"/>
      <c r="Z10" s="42"/>
      <c r="AB10" s="75"/>
      <c r="AC10" s="76"/>
      <c r="AD10" s="76"/>
      <c r="AE10" s="77"/>
      <c r="AF10" s="77"/>
      <c r="AG10" s="77"/>
      <c r="AH10" s="77"/>
      <c r="AI10" s="77"/>
      <c r="AJ10" s="77"/>
      <c r="AK10" s="77"/>
      <c r="AL10" s="77"/>
      <c r="AM10" s="22"/>
    </row>
    <row r="11" spans="2:39" ht="15.6" x14ac:dyDescent="0.3">
      <c r="B11" s="127" t="s">
        <v>0</v>
      </c>
      <c r="C11" s="127" t="s">
        <v>1</v>
      </c>
      <c r="D11" s="111" t="s">
        <v>7</v>
      </c>
      <c r="E11" s="111" t="s">
        <v>28</v>
      </c>
      <c r="F11" s="36"/>
      <c r="G11" s="128" t="s">
        <v>18</v>
      </c>
      <c r="H11" s="128"/>
      <c r="I11" s="128"/>
      <c r="J11" s="128"/>
      <c r="K11" s="37"/>
      <c r="L11" s="111" t="s">
        <v>29</v>
      </c>
      <c r="M11" s="111" t="s">
        <v>22</v>
      </c>
      <c r="N11" s="89" t="s">
        <v>78</v>
      </c>
      <c r="O11" s="87" t="s">
        <v>79</v>
      </c>
      <c r="P11" s="115" t="s">
        <v>30</v>
      </c>
      <c r="Q11" s="130" t="s">
        <v>8</v>
      </c>
      <c r="R11" s="131"/>
      <c r="S11" s="131"/>
      <c r="T11" s="131"/>
      <c r="U11" s="127" t="s">
        <v>12</v>
      </c>
      <c r="V11" s="91" t="s">
        <v>52</v>
      </c>
      <c r="W11" s="125" t="s">
        <v>32</v>
      </c>
      <c r="X11" s="55"/>
      <c r="Y11" s="41"/>
      <c r="Z11" s="41"/>
      <c r="AB11" s="75"/>
      <c r="AC11" s="76"/>
      <c r="AD11" s="76"/>
      <c r="AE11" s="77"/>
      <c r="AF11" s="77"/>
      <c r="AG11" s="77"/>
      <c r="AH11" s="77"/>
      <c r="AI11" s="77"/>
      <c r="AJ11" s="77"/>
      <c r="AK11" s="77"/>
      <c r="AL11" s="77"/>
      <c r="AM11" s="22"/>
    </row>
    <row r="12" spans="2:39" ht="33" customHeight="1" x14ac:dyDescent="0.3">
      <c r="B12" s="127"/>
      <c r="C12" s="127"/>
      <c r="D12" s="111"/>
      <c r="E12" s="111"/>
      <c r="F12" s="36" t="s">
        <v>33</v>
      </c>
      <c r="G12" s="37" t="s">
        <v>19</v>
      </c>
      <c r="H12" s="37" t="s">
        <v>20</v>
      </c>
      <c r="I12" s="37" t="s">
        <v>21</v>
      </c>
      <c r="J12" s="37" t="s">
        <v>5</v>
      </c>
      <c r="K12" s="25" t="s">
        <v>38</v>
      </c>
      <c r="L12" s="111"/>
      <c r="M12" s="111"/>
      <c r="N12" s="90" t="s">
        <v>39</v>
      </c>
      <c r="O12" s="88" t="s">
        <v>80</v>
      </c>
      <c r="P12" s="114"/>
      <c r="Q12" s="35" t="s">
        <v>9</v>
      </c>
      <c r="R12" s="36" t="s">
        <v>106</v>
      </c>
      <c r="S12" s="36" t="s">
        <v>105</v>
      </c>
      <c r="T12" s="37" t="s">
        <v>11</v>
      </c>
      <c r="U12" s="127"/>
      <c r="V12" s="30" t="s">
        <v>31</v>
      </c>
      <c r="W12" s="126"/>
      <c r="X12" s="52"/>
      <c r="Y12" s="36" t="s">
        <v>48</v>
      </c>
      <c r="Z12" s="36" t="s">
        <v>49</v>
      </c>
      <c r="AB12" s="76"/>
      <c r="AC12" s="76"/>
      <c r="AD12" s="76"/>
      <c r="AE12" s="77"/>
      <c r="AF12" s="77"/>
      <c r="AG12" s="77"/>
      <c r="AH12" s="77"/>
      <c r="AI12" s="77"/>
      <c r="AJ12" s="77"/>
      <c r="AK12" s="78"/>
      <c r="AL12" s="78"/>
      <c r="AM12" s="22"/>
    </row>
    <row r="13" spans="2:39" ht="19.5" customHeight="1" x14ac:dyDescent="0.4">
      <c r="B13" s="2">
        <v>4</v>
      </c>
      <c r="C13" s="1" t="s">
        <v>81</v>
      </c>
      <c r="D13" s="1" t="s">
        <v>17</v>
      </c>
      <c r="E13" s="4" t="s">
        <v>66</v>
      </c>
      <c r="F13" s="4">
        <v>0</v>
      </c>
      <c r="G13" s="23">
        <v>0</v>
      </c>
      <c r="H13" s="11">
        <v>0</v>
      </c>
      <c r="I13" s="11">
        <v>0</v>
      </c>
      <c r="J13" s="11">
        <f>SUM(G13:I13)</f>
        <v>0</v>
      </c>
      <c r="K13" s="23">
        <f>F13+J13</f>
        <v>0</v>
      </c>
      <c r="L13" s="12">
        <f>J13*35000</f>
        <v>0</v>
      </c>
      <c r="M13" s="83">
        <v>6</v>
      </c>
      <c r="N13" s="49"/>
      <c r="O13" s="85">
        <f>M13+N13</f>
        <v>6</v>
      </c>
      <c r="P13" s="13">
        <v>12500</v>
      </c>
      <c r="Q13" s="21">
        <f>O13*P13</f>
        <v>75000</v>
      </c>
      <c r="R13" s="3">
        <v>1000000</v>
      </c>
      <c r="S13" s="26">
        <v>500000</v>
      </c>
      <c r="T13" s="3">
        <v>100000</v>
      </c>
      <c r="U13" s="19">
        <f>SUM(Q13:T13)-L13</f>
        <v>1675000</v>
      </c>
      <c r="V13" s="72">
        <v>60000</v>
      </c>
      <c r="W13" s="3">
        <f>SUM(U13+V13)</f>
        <v>1735000</v>
      </c>
      <c r="X13" s="53"/>
      <c r="Y13" s="58">
        <v>7371887387</v>
      </c>
      <c r="Z13" s="40" t="s">
        <v>44</v>
      </c>
      <c r="AB13" s="129"/>
      <c r="AC13" s="129"/>
      <c r="AD13" s="129"/>
      <c r="AE13" s="78"/>
      <c r="AF13" s="78"/>
      <c r="AG13" s="78"/>
      <c r="AH13" s="78"/>
      <c r="AI13" s="78"/>
      <c r="AJ13" s="78"/>
      <c r="AK13" s="78"/>
      <c r="AL13" s="78"/>
      <c r="AM13" s="22"/>
    </row>
    <row r="14" spans="2:39" ht="19.5" customHeight="1" x14ac:dyDescent="0.4">
      <c r="B14" s="2">
        <v>5</v>
      </c>
      <c r="C14" s="1" t="s">
        <v>89</v>
      </c>
      <c r="D14" s="1" t="s">
        <v>17</v>
      </c>
      <c r="E14" s="4" t="s">
        <v>66</v>
      </c>
      <c r="F14" s="4">
        <v>0</v>
      </c>
      <c r="G14" s="23">
        <v>0</v>
      </c>
      <c r="H14" s="11">
        <v>0</v>
      </c>
      <c r="I14" s="11">
        <v>0</v>
      </c>
      <c r="J14" s="11">
        <f>SUM(G14:I14)</f>
        <v>0</v>
      </c>
      <c r="K14" s="23">
        <f>F14+J14</f>
        <v>0</v>
      </c>
      <c r="L14" s="12">
        <f>J14*35000</f>
        <v>0</v>
      </c>
      <c r="M14" s="83">
        <v>6</v>
      </c>
      <c r="N14" s="49"/>
      <c r="O14" s="85">
        <f>M14+N14</f>
        <v>6</v>
      </c>
      <c r="P14" s="13">
        <v>12500</v>
      </c>
      <c r="Q14" s="21">
        <f>O14*P14</f>
        <v>75000</v>
      </c>
      <c r="R14" s="3">
        <v>1000000</v>
      </c>
      <c r="S14" s="26">
        <v>10000</v>
      </c>
      <c r="T14" s="3">
        <v>50000</v>
      </c>
      <c r="U14" s="19">
        <f>SUM(Q14:T14)-L14</f>
        <v>1135000</v>
      </c>
      <c r="V14" s="28"/>
      <c r="W14" s="3">
        <f>SUM(U14+V14)</f>
        <v>1135000</v>
      </c>
      <c r="X14" s="53"/>
      <c r="Y14" s="58">
        <v>7364718898</v>
      </c>
      <c r="Z14" s="40" t="s">
        <v>44</v>
      </c>
    </row>
    <row r="15" spans="2:39" ht="18" x14ac:dyDescent="0.35">
      <c r="B15" s="101" t="s">
        <v>5</v>
      </c>
      <c r="C15" s="102"/>
      <c r="D15" s="102"/>
      <c r="E15" s="103"/>
      <c r="F15" s="34"/>
      <c r="G15" s="15">
        <f t="shared" ref="G15:L15" si="4">SUM(G12:G14)</f>
        <v>0</v>
      </c>
      <c r="H15" s="15">
        <f t="shared" si="4"/>
        <v>0</v>
      </c>
      <c r="I15" s="15">
        <f t="shared" si="4"/>
        <v>0</v>
      </c>
      <c r="J15" s="15">
        <f t="shared" si="4"/>
        <v>0</v>
      </c>
      <c r="K15" s="15">
        <f t="shared" si="4"/>
        <v>0</v>
      </c>
      <c r="L15" s="44">
        <f t="shared" si="4"/>
        <v>0</v>
      </c>
      <c r="M15" s="45">
        <f>SUM(M13:M14)</f>
        <v>12</v>
      </c>
      <c r="N15" s="44">
        <f>SUM(N12:N14)</f>
        <v>0</v>
      </c>
      <c r="O15" s="45">
        <f>SUM(O12:O14)</f>
        <v>12</v>
      </c>
      <c r="P15" s="44"/>
      <c r="Q15" s="44">
        <f t="shared" ref="Q15:W15" si="5">SUM(Q12:Q14)</f>
        <v>150000</v>
      </c>
      <c r="R15" s="44">
        <f t="shared" si="5"/>
        <v>2000000</v>
      </c>
      <c r="S15" s="44">
        <f t="shared" si="5"/>
        <v>510000</v>
      </c>
      <c r="T15" s="44">
        <f t="shared" si="5"/>
        <v>150000</v>
      </c>
      <c r="U15" s="44">
        <f t="shared" si="5"/>
        <v>2810000</v>
      </c>
      <c r="V15" s="44">
        <f t="shared" si="5"/>
        <v>60000</v>
      </c>
      <c r="W15" s="44">
        <f t="shared" si="5"/>
        <v>2870000</v>
      </c>
      <c r="X15" s="54"/>
      <c r="Y15" s="42"/>
      <c r="Z15" s="42"/>
      <c r="AB15" s="75"/>
      <c r="AC15" s="76"/>
      <c r="AD15" s="76"/>
      <c r="AE15" s="77"/>
      <c r="AF15" s="77"/>
      <c r="AG15" s="77"/>
      <c r="AH15" s="77"/>
      <c r="AI15" s="77"/>
      <c r="AJ15" s="77"/>
      <c r="AK15" s="77"/>
      <c r="AL15" s="77"/>
      <c r="AM15" s="22"/>
    </row>
    <row r="16" spans="2:39" ht="18" x14ac:dyDescent="0.3">
      <c r="B16" s="127" t="s">
        <v>0</v>
      </c>
      <c r="C16" s="127" t="s">
        <v>1</v>
      </c>
      <c r="D16" s="111" t="s">
        <v>7</v>
      </c>
      <c r="E16" s="111" t="s">
        <v>28</v>
      </c>
      <c r="F16" s="36"/>
      <c r="G16" s="128" t="s">
        <v>18</v>
      </c>
      <c r="H16" s="128"/>
      <c r="I16" s="128"/>
      <c r="J16" s="128"/>
      <c r="K16" s="37"/>
      <c r="L16" s="111" t="s">
        <v>29</v>
      </c>
      <c r="M16" s="111" t="s">
        <v>22</v>
      </c>
      <c r="N16" s="89" t="s">
        <v>78</v>
      </c>
      <c r="O16" s="87" t="s">
        <v>79</v>
      </c>
      <c r="P16" s="115" t="s">
        <v>30</v>
      </c>
      <c r="Q16" s="130" t="s">
        <v>8</v>
      </c>
      <c r="R16" s="131"/>
      <c r="S16" s="131"/>
      <c r="T16" s="131"/>
      <c r="U16" s="127" t="s">
        <v>12</v>
      </c>
      <c r="V16" s="91" t="s">
        <v>52</v>
      </c>
      <c r="W16" s="125" t="s">
        <v>32</v>
      </c>
      <c r="X16" s="55"/>
      <c r="Y16" s="61"/>
      <c r="Z16" s="41"/>
    </row>
    <row r="17" spans="2:26" ht="33" customHeight="1" x14ac:dyDescent="0.3">
      <c r="B17" s="127"/>
      <c r="C17" s="127"/>
      <c r="D17" s="111"/>
      <c r="E17" s="111"/>
      <c r="F17" s="36" t="s">
        <v>33</v>
      </c>
      <c r="G17" s="37" t="s">
        <v>19</v>
      </c>
      <c r="H17" s="37" t="s">
        <v>20</v>
      </c>
      <c r="I17" s="37" t="s">
        <v>21</v>
      </c>
      <c r="J17" s="37" t="s">
        <v>5</v>
      </c>
      <c r="K17" s="25" t="s">
        <v>38</v>
      </c>
      <c r="L17" s="111"/>
      <c r="M17" s="111"/>
      <c r="N17" s="90" t="s">
        <v>39</v>
      </c>
      <c r="O17" s="88" t="s">
        <v>80</v>
      </c>
      <c r="P17" s="114"/>
      <c r="Q17" s="35" t="s">
        <v>9</v>
      </c>
      <c r="R17" s="36" t="s">
        <v>4</v>
      </c>
      <c r="S17" s="37" t="s">
        <v>10</v>
      </c>
      <c r="T17" s="37" t="s">
        <v>11</v>
      </c>
      <c r="U17" s="127"/>
      <c r="V17" s="30" t="s">
        <v>51</v>
      </c>
      <c r="W17" s="126"/>
      <c r="X17" s="52"/>
      <c r="Y17" s="36" t="s">
        <v>48</v>
      </c>
      <c r="Z17" s="36" t="s">
        <v>49</v>
      </c>
    </row>
    <row r="18" spans="2:26" ht="24" customHeight="1" x14ac:dyDescent="0.4">
      <c r="B18" s="2">
        <v>6</v>
      </c>
      <c r="C18" s="1" t="s">
        <v>50</v>
      </c>
      <c r="D18" s="1" t="s">
        <v>64</v>
      </c>
      <c r="E18" s="4" t="s">
        <v>53</v>
      </c>
      <c r="F18" s="4">
        <v>0</v>
      </c>
      <c r="G18" s="23">
        <v>0</v>
      </c>
      <c r="H18" s="11">
        <v>0</v>
      </c>
      <c r="I18" s="11">
        <v>0</v>
      </c>
      <c r="J18" s="11">
        <f>SUM(G18:I18)</f>
        <v>0</v>
      </c>
      <c r="K18" s="23">
        <f>F18+J18</f>
        <v>0</v>
      </c>
      <c r="L18" s="12">
        <f>J18*15000</f>
        <v>0</v>
      </c>
      <c r="M18" s="83">
        <v>4</v>
      </c>
      <c r="N18" s="28"/>
      <c r="O18" s="85">
        <v>4</v>
      </c>
      <c r="P18" s="13">
        <v>12500</v>
      </c>
      <c r="Q18" s="21">
        <f>O18*P18</f>
        <v>50000</v>
      </c>
      <c r="R18" s="3">
        <v>1000000</v>
      </c>
      <c r="S18" s="14">
        <v>450000</v>
      </c>
      <c r="T18" s="3">
        <v>100000</v>
      </c>
      <c r="U18" s="19">
        <f>SUM(Q18:T18)-L18</f>
        <v>1600000</v>
      </c>
      <c r="V18" s="72">
        <v>75000</v>
      </c>
      <c r="W18" s="3">
        <f>SUM(U18+V18)</f>
        <v>1675000</v>
      </c>
      <c r="X18" s="52"/>
      <c r="Y18" s="58">
        <v>7346328228</v>
      </c>
      <c r="Z18" s="40" t="s">
        <v>44</v>
      </c>
    </row>
    <row r="19" spans="2:26" ht="19.5" customHeight="1" x14ac:dyDescent="0.4">
      <c r="B19" s="2">
        <v>7</v>
      </c>
      <c r="C19" s="1" t="s">
        <v>62</v>
      </c>
      <c r="D19" s="1" t="s">
        <v>65</v>
      </c>
      <c r="E19" s="4" t="s">
        <v>53</v>
      </c>
      <c r="F19" s="4">
        <v>0</v>
      </c>
      <c r="G19" s="23">
        <v>1</v>
      </c>
      <c r="H19" s="11">
        <v>0</v>
      </c>
      <c r="I19" s="11">
        <v>0</v>
      </c>
      <c r="J19" s="11">
        <f>SUM(G19:I19)</f>
        <v>1</v>
      </c>
      <c r="K19" s="23">
        <f>F19+J19</f>
        <v>1</v>
      </c>
      <c r="L19" s="12">
        <f>J19*15000</f>
        <v>15000</v>
      </c>
      <c r="M19" s="83">
        <v>12</v>
      </c>
      <c r="N19" s="28"/>
      <c r="O19" s="85">
        <f>M19+N19</f>
        <v>12</v>
      </c>
      <c r="P19" s="13">
        <v>12500</v>
      </c>
      <c r="Q19" s="21">
        <f>O19*P19</f>
        <v>150000</v>
      </c>
      <c r="R19" s="3">
        <v>1000000</v>
      </c>
      <c r="S19" s="14">
        <v>450000</v>
      </c>
      <c r="T19" s="3">
        <v>100000</v>
      </c>
      <c r="U19" s="19">
        <f>SUM(Q19:T19)-L19</f>
        <v>1685000</v>
      </c>
      <c r="V19" s="72">
        <v>50000</v>
      </c>
      <c r="W19" s="3">
        <f>SUM(U19+V19)</f>
        <v>1735000</v>
      </c>
      <c r="X19" s="53"/>
      <c r="Y19" s="80">
        <v>3151891444</v>
      </c>
      <c r="Z19" s="40" t="s">
        <v>46</v>
      </c>
    </row>
    <row r="20" spans="2:26" ht="19.5" customHeight="1" x14ac:dyDescent="0.35">
      <c r="B20" s="2">
        <v>8</v>
      </c>
      <c r="C20" s="1" t="s">
        <v>63</v>
      </c>
      <c r="D20" s="1" t="s">
        <v>75</v>
      </c>
      <c r="E20" s="4" t="s">
        <v>53</v>
      </c>
      <c r="F20" s="4">
        <v>0</v>
      </c>
      <c r="G20" s="23">
        <v>0</v>
      </c>
      <c r="H20" s="11">
        <v>0</v>
      </c>
      <c r="I20" s="11">
        <v>0</v>
      </c>
      <c r="J20" s="11">
        <f>SUM(G20:I20)</f>
        <v>0</v>
      </c>
      <c r="K20" s="23">
        <f>F20+J20</f>
        <v>0</v>
      </c>
      <c r="L20" s="12">
        <f>J20*15000</f>
        <v>0</v>
      </c>
      <c r="M20" s="83">
        <v>69</v>
      </c>
      <c r="N20" s="28"/>
      <c r="O20" s="85">
        <f>M20+N20</f>
        <v>69</v>
      </c>
      <c r="P20" s="13">
        <v>12500</v>
      </c>
      <c r="Q20" s="21">
        <f>O20*P20</f>
        <v>862500</v>
      </c>
      <c r="R20" s="3">
        <v>1000000</v>
      </c>
      <c r="S20" s="3">
        <v>450000</v>
      </c>
      <c r="T20" s="3">
        <v>150000</v>
      </c>
      <c r="U20" s="19">
        <f>SUM(Q20:T20)-L20</f>
        <v>2462500</v>
      </c>
      <c r="V20" s="72">
        <v>75000</v>
      </c>
      <c r="W20" s="3">
        <f>SUM(U20+V20)</f>
        <v>2537500</v>
      </c>
      <c r="X20" s="53"/>
      <c r="Y20" s="60">
        <v>9118473620</v>
      </c>
      <c r="Z20" s="40" t="s">
        <v>44</v>
      </c>
    </row>
    <row r="21" spans="2:26" ht="18" x14ac:dyDescent="0.35">
      <c r="B21" s="101" t="s">
        <v>5</v>
      </c>
      <c r="C21" s="102"/>
      <c r="D21" s="102"/>
      <c r="E21" s="103"/>
      <c r="F21" s="34"/>
      <c r="G21" s="15">
        <f t="shared" ref="G21:L21" si="6">SUM(G13:G19)</f>
        <v>1</v>
      </c>
      <c r="H21" s="15">
        <f t="shared" si="6"/>
        <v>0</v>
      </c>
      <c r="I21" s="15">
        <f t="shared" si="6"/>
        <v>0</v>
      </c>
      <c r="J21" s="15">
        <f t="shared" si="6"/>
        <v>1</v>
      </c>
      <c r="K21" s="15">
        <f t="shared" si="6"/>
        <v>1</v>
      </c>
      <c r="L21" s="44">
        <f t="shared" si="6"/>
        <v>15000</v>
      </c>
      <c r="M21" s="45">
        <f>SUM(M18:M19)</f>
        <v>16</v>
      </c>
      <c r="N21" s="44">
        <f>SUM(N18:N20)</f>
        <v>0</v>
      </c>
      <c r="O21" s="45">
        <f>SUM(O18:O20)</f>
        <v>85</v>
      </c>
      <c r="P21" s="44"/>
      <c r="Q21" s="44">
        <f t="shared" ref="Q21:V21" si="7">SUM(Q18:Q20)</f>
        <v>1062500</v>
      </c>
      <c r="R21" s="44">
        <f t="shared" si="7"/>
        <v>3000000</v>
      </c>
      <c r="S21" s="44">
        <f t="shared" si="7"/>
        <v>1350000</v>
      </c>
      <c r="T21" s="44">
        <f t="shared" si="7"/>
        <v>350000</v>
      </c>
      <c r="U21" s="44">
        <f t="shared" si="7"/>
        <v>5747500</v>
      </c>
      <c r="V21" s="44">
        <f t="shared" si="7"/>
        <v>200000</v>
      </c>
      <c r="W21" s="44">
        <f>SUM(U21+V21)</f>
        <v>5947500</v>
      </c>
      <c r="X21" s="54"/>
      <c r="Y21" s="42"/>
      <c r="Z21" s="42"/>
    </row>
    <row r="22" spans="2:26" ht="18" x14ac:dyDescent="0.3">
      <c r="B22" s="6" t="s">
        <v>24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107"/>
      <c r="V22" s="107"/>
      <c r="W22" s="108"/>
      <c r="X22" s="56"/>
      <c r="Y22" s="43"/>
      <c r="Z22" s="43"/>
    </row>
    <row r="23" spans="2:26" ht="15.75" customHeight="1" x14ac:dyDescent="0.3">
      <c r="B23" s="127" t="s">
        <v>0</v>
      </c>
      <c r="C23" s="127" t="s">
        <v>1</v>
      </c>
      <c r="D23" s="111" t="s">
        <v>16</v>
      </c>
      <c r="E23" s="111" t="s">
        <v>28</v>
      </c>
      <c r="F23" s="36"/>
      <c r="G23" s="128" t="s">
        <v>18</v>
      </c>
      <c r="H23" s="128"/>
      <c r="I23" s="128"/>
      <c r="J23" s="128"/>
      <c r="K23" s="109" t="s">
        <v>33</v>
      </c>
      <c r="L23" s="111" t="s">
        <v>29</v>
      </c>
      <c r="M23" s="111" t="s">
        <v>25</v>
      </c>
      <c r="N23" s="112"/>
      <c r="O23" s="92"/>
      <c r="P23" s="111" t="s">
        <v>26</v>
      </c>
      <c r="Q23" s="115" t="s">
        <v>30</v>
      </c>
      <c r="R23" s="116" t="s">
        <v>27</v>
      </c>
      <c r="S23" s="117"/>
      <c r="T23" s="118"/>
      <c r="U23" s="122" t="s">
        <v>12</v>
      </c>
      <c r="V23" s="123" t="s">
        <v>31</v>
      </c>
      <c r="W23" s="125" t="s">
        <v>32</v>
      </c>
      <c r="X23" s="55"/>
      <c r="Y23" s="41"/>
      <c r="Z23" s="41"/>
    </row>
    <row r="24" spans="2:26" ht="43.5" customHeight="1" x14ac:dyDescent="0.3">
      <c r="B24" s="127"/>
      <c r="C24" s="127"/>
      <c r="D24" s="111"/>
      <c r="E24" s="111"/>
      <c r="F24" s="36" t="s">
        <v>33</v>
      </c>
      <c r="G24" s="37" t="s">
        <v>19</v>
      </c>
      <c r="H24" s="37" t="s">
        <v>20</v>
      </c>
      <c r="I24" s="37" t="s">
        <v>21</v>
      </c>
      <c r="J24" s="37" t="s">
        <v>5</v>
      </c>
      <c r="K24" s="110"/>
      <c r="L24" s="111"/>
      <c r="M24" s="111"/>
      <c r="N24" s="113"/>
      <c r="O24" s="93"/>
      <c r="P24" s="114"/>
      <c r="Q24" s="114"/>
      <c r="R24" s="119"/>
      <c r="S24" s="120"/>
      <c r="T24" s="121"/>
      <c r="U24" s="122"/>
      <c r="V24" s="124"/>
      <c r="W24" s="126"/>
      <c r="X24" s="52"/>
      <c r="Y24" s="36" t="s">
        <v>48</v>
      </c>
      <c r="Z24" s="36" t="s">
        <v>49</v>
      </c>
    </row>
    <row r="25" spans="2:26" ht="21.75" customHeight="1" x14ac:dyDescent="0.35">
      <c r="B25" s="4">
        <v>9</v>
      </c>
      <c r="C25" s="9" t="s">
        <v>14</v>
      </c>
      <c r="D25" s="8" t="s">
        <v>76</v>
      </c>
      <c r="E25" s="4" t="s">
        <v>54</v>
      </c>
      <c r="F25" s="4">
        <v>1</v>
      </c>
      <c r="G25" s="18">
        <v>0</v>
      </c>
      <c r="H25" s="18">
        <v>0</v>
      </c>
      <c r="I25" s="18">
        <v>0</v>
      </c>
      <c r="J25" s="18">
        <f>SUM(G25:I25)</f>
        <v>0</v>
      </c>
      <c r="K25" s="18">
        <v>0</v>
      </c>
      <c r="L25" s="12">
        <v>0</v>
      </c>
      <c r="M25" s="84">
        <v>4</v>
      </c>
      <c r="N25" s="27"/>
      <c r="O25" s="86"/>
      <c r="P25" s="84">
        <v>3</v>
      </c>
      <c r="Q25" s="10">
        <v>50000</v>
      </c>
      <c r="R25" s="98">
        <f>P25*Q25</f>
        <v>150000</v>
      </c>
      <c r="S25" s="99"/>
      <c r="T25" s="100"/>
      <c r="U25" s="20">
        <f>R25</f>
        <v>150000</v>
      </c>
      <c r="V25" s="94"/>
      <c r="W25" s="3">
        <f>SUM(U25+V25)</f>
        <v>150000</v>
      </c>
      <c r="X25" s="53"/>
      <c r="Y25" s="63" t="s">
        <v>47</v>
      </c>
      <c r="Z25" s="64" t="s">
        <v>44</v>
      </c>
    </row>
    <row r="26" spans="2:26" ht="21.75" customHeight="1" x14ac:dyDescent="0.35">
      <c r="B26" s="4">
        <v>10</v>
      </c>
      <c r="C26" s="9" t="s">
        <v>82</v>
      </c>
      <c r="D26" s="8" t="s">
        <v>42</v>
      </c>
      <c r="E26" s="4" t="s">
        <v>40</v>
      </c>
      <c r="F26" s="4">
        <v>1</v>
      </c>
      <c r="G26" s="18">
        <v>0</v>
      </c>
      <c r="H26" s="18">
        <v>0</v>
      </c>
      <c r="I26" s="18">
        <v>0</v>
      </c>
      <c r="J26" s="18">
        <f>SUM(G26:I26)</f>
        <v>0</v>
      </c>
      <c r="K26" s="18">
        <v>0</v>
      </c>
      <c r="L26" s="12">
        <v>0</v>
      </c>
      <c r="M26" s="84">
        <v>20</v>
      </c>
      <c r="N26" s="27"/>
      <c r="O26" s="86"/>
      <c r="P26" s="84">
        <v>20</v>
      </c>
      <c r="Q26" s="10">
        <v>35000</v>
      </c>
      <c r="R26" s="98">
        <f>P26*Q26</f>
        <v>700000</v>
      </c>
      <c r="S26" s="99"/>
      <c r="T26" s="100"/>
      <c r="U26" s="20">
        <f>R26</f>
        <v>700000</v>
      </c>
      <c r="V26" s="94"/>
      <c r="W26" s="3">
        <f>SUM(U26+V26)</f>
        <v>700000</v>
      </c>
      <c r="X26" s="53"/>
      <c r="Y26" s="63">
        <v>7148557661</v>
      </c>
      <c r="Z26" s="64" t="s">
        <v>44</v>
      </c>
    </row>
    <row r="27" spans="2:26" ht="21.75" customHeight="1" x14ac:dyDescent="0.35">
      <c r="B27" s="4">
        <v>11</v>
      </c>
      <c r="C27" s="1" t="s">
        <v>85</v>
      </c>
      <c r="D27" s="8" t="s">
        <v>86</v>
      </c>
      <c r="E27" s="4" t="s">
        <v>37</v>
      </c>
      <c r="F27" s="4">
        <v>3</v>
      </c>
      <c r="G27" s="18">
        <v>0</v>
      </c>
      <c r="H27" s="18">
        <v>0</v>
      </c>
      <c r="I27" s="18">
        <v>0</v>
      </c>
      <c r="J27" s="18">
        <f>SUM(G27:I27)</f>
        <v>0</v>
      </c>
      <c r="K27" s="18">
        <v>0</v>
      </c>
      <c r="L27" s="12">
        <v>0</v>
      </c>
      <c r="M27" s="84">
        <v>8</v>
      </c>
      <c r="N27" s="27"/>
      <c r="O27" s="86"/>
      <c r="P27" s="84">
        <v>6</v>
      </c>
      <c r="Q27" s="10">
        <v>35000</v>
      </c>
      <c r="R27" s="98">
        <f>P27*Q27</f>
        <v>210000</v>
      </c>
      <c r="S27" s="99"/>
      <c r="T27" s="100"/>
      <c r="U27" s="20">
        <f>R27</f>
        <v>210000</v>
      </c>
      <c r="V27" s="94"/>
      <c r="W27" s="3">
        <f>SUM(U27+V27)</f>
        <v>210000</v>
      </c>
      <c r="X27" s="53"/>
      <c r="Y27" s="63">
        <v>8584893130</v>
      </c>
      <c r="Z27" s="64" t="s">
        <v>44</v>
      </c>
    </row>
    <row r="28" spans="2:26" ht="21.75" customHeight="1" x14ac:dyDescent="0.35">
      <c r="B28" s="4">
        <v>12</v>
      </c>
      <c r="C28" s="1" t="s">
        <v>13</v>
      </c>
      <c r="D28" s="8" t="s">
        <v>87</v>
      </c>
      <c r="E28" s="4" t="s">
        <v>84</v>
      </c>
      <c r="F28" s="4">
        <v>1</v>
      </c>
      <c r="G28" s="18">
        <v>0</v>
      </c>
      <c r="H28" s="18">
        <v>0</v>
      </c>
      <c r="I28" s="18">
        <v>0</v>
      </c>
      <c r="J28" s="18">
        <f>SUM(G28:I28)</f>
        <v>0</v>
      </c>
      <c r="K28" s="18">
        <v>0</v>
      </c>
      <c r="L28" s="12">
        <v>0</v>
      </c>
      <c r="M28" s="84">
        <v>56</v>
      </c>
      <c r="N28" s="27"/>
      <c r="O28" s="86"/>
      <c r="P28" s="84">
        <v>52</v>
      </c>
      <c r="Q28" s="10">
        <v>25000</v>
      </c>
      <c r="R28" s="98">
        <f>P28*Q28</f>
        <v>1300000</v>
      </c>
      <c r="S28" s="99"/>
      <c r="T28" s="100"/>
      <c r="U28" s="20">
        <f>R28</f>
        <v>1300000</v>
      </c>
      <c r="V28" s="95">
        <v>50000</v>
      </c>
      <c r="W28" s="3">
        <f>SUM(U28+V28)</f>
        <v>1350000</v>
      </c>
      <c r="X28" s="53"/>
      <c r="Y28" s="63">
        <v>7324900197</v>
      </c>
      <c r="Z28" s="64" t="s">
        <v>44</v>
      </c>
    </row>
    <row r="29" spans="2:26" ht="21.75" customHeight="1" x14ac:dyDescent="0.35">
      <c r="B29" s="4">
        <v>13</v>
      </c>
      <c r="C29" s="9" t="s">
        <v>83</v>
      </c>
      <c r="D29" s="8" t="s">
        <v>88</v>
      </c>
      <c r="E29" s="4" t="s">
        <v>84</v>
      </c>
      <c r="F29" s="4">
        <v>3</v>
      </c>
      <c r="G29" s="18">
        <v>0</v>
      </c>
      <c r="H29" s="18">
        <v>0</v>
      </c>
      <c r="I29" s="18">
        <v>0</v>
      </c>
      <c r="J29" s="18">
        <f>SUM(G29:I29)</f>
        <v>0</v>
      </c>
      <c r="K29" s="18">
        <v>0</v>
      </c>
      <c r="L29" s="12">
        <v>0</v>
      </c>
      <c r="M29" s="84">
        <v>32</v>
      </c>
      <c r="N29" s="27"/>
      <c r="O29" s="86"/>
      <c r="P29" s="84">
        <v>28</v>
      </c>
      <c r="Q29" s="10">
        <v>25000</v>
      </c>
      <c r="R29" s="98">
        <f>P29*Q29</f>
        <v>700000</v>
      </c>
      <c r="S29" s="99"/>
      <c r="T29" s="100"/>
      <c r="U29" s="20">
        <f>R29</f>
        <v>700000</v>
      </c>
      <c r="V29" s="94"/>
      <c r="W29" s="3">
        <f>SUM(U29+V29)</f>
        <v>700000</v>
      </c>
      <c r="X29" s="53"/>
      <c r="Y29" s="62">
        <v>3850914337</v>
      </c>
      <c r="Z29" s="64" t="s">
        <v>46</v>
      </c>
    </row>
    <row r="30" spans="2:26" ht="18" x14ac:dyDescent="0.35">
      <c r="B30" s="101" t="s">
        <v>5</v>
      </c>
      <c r="C30" s="102"/>
      <c r="D30" s="102"/>
      <c r="E30" s="103"/>
      <c r="F30" s="34"/>
      <c r="G30" s="15">
        <f t="shared" ref="G30:N30" si="8">SUM(G22:G29)</f>
        <v>0</v>
      </c>
      <c r="H30" s="15">
        <f t="shared" si="8"/>
        <v>0</v>
      </c>
      <c r="I30" s="15">
        <f t="shared" si="8"/>
        <v>0</v>
      </c>
      <c r="J30" s="15">
        <f t="shared" si="8"/>
        <v>0</v>
      </c>
      <c r="K30" s="15">
        <f t="shared" si="8"/>
        <v>0</v>
      </c>
      <c r="L30" s="16">
        <f t="shared" si="8"/>
        <v>0</v>
      </c>
      <c r="M30" s="15">
        <f t="shared" si="8"/>
        <v>120</v>
      </c>
      <c r="N30" s="47">
        <f t="shared" si="8"/>
        <v>0</v>
      </c>
      <c r="O30" s="47"/>
      <c r="P30" s="15">
        <f>SUM(P22:P29)</f>
        <v>109</v>
      </c>
      <c r="Q30" s="17"/>
      <c r="R30" s="104">
        <f>SUM(R22:R29)</f>
        <v>3060000</v>
      </c>
      <c r="S30" s="105"/>
      <c r="T30" s="106"/>
      <c r="U30" s="47">
        <f>SUM(U22:U29)</f>
        <v>3060000</v>
      </c>
      <c r="V30" s="47">
        <f>SUM(V22:V29)</f>
        <v>50000</v>
      </c>
      <c r="W30" s="47">
        <f>SUM(W22:W29)</f>
        <v>3110000</v>
      </c>
      <c r="X30" s="57"/>
      <c r="Y30" s="24"/>
      <c r="Z30" s="24"/>
    </row>
    <row r="31" spans="2:26" ht="18" x14ac:dyDescent="0.35">
      <c r="B31" s="38"/>
      <c r="C31" s="101" t="s">
        <v>34</v>
      </c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46">
        <f>U10+U15+U21+U30</f>
        <v>18665000</v>
      </c>
      <c r="V31" s="46">
        <f>V10+V15+V21+V30</f>
        <v>510000</v>
      </c>
      <c r="W31" s="46">
        <f>W10+W15+W21+W30</f>
        <v>19175000</v>
      </c>
      <c r="X31" s="57"/>
      <c r="Y31" s="24"/>
      <c r="Z31" s="24"/>
    </row>
    <row r="32" spans="2:26" ht="17.25" customHeight="1" x14ac:dyDescent="0.3"/>
    <row r="33" spans="1:6" x14ac:dyDescent="0.3">
      <c r="B33" t="s">
        <v>41</v>
      </c>
    </row>
    <row r="34" spans="1:6" x14ac:dyDescent="0.3">
      <c r="A34" t="s">
        <v>55</v>
      </c>
      <c r="B34" t="s">
        <v>43</v>
      </c>
    </row>
    <row r="35" spans="1:6" x14ac:dyDescent="0.3">
      <c r="B35" t="s">
        <v>93</v>
      </c>
    </row>
    <row r="36" spans="1:6" x14ac:dyDescent="0.3">
      <c r="B36" s="31" t="s">
        <v>94</v>
      </c>
    </row>
    <row r="37" spans="1:6" x14ac:dyDescent="0.3">
      <c r="B37" t="s">
        <v>95</v>
      </c>
    </row>
    <row r="38" spans="1:6" x14ac:dyDescent="0.3">
      <c r="B38" s="31" t="s">
        <v>91</v>
      </c>
    </row>
    <row r="39" spans="1:6" x14ac:dyDescent="0.3">
      <c r="B39" t="s">
        <v>92</v>
      </c>
    </row>
    <row r="40" spans="1:6" x14ac:dyDescent="0.3">
      <c r="B40" s="31" t="s">
        <v>98</v>
      </c>
    </row>
    <row r="41" spans="1:6" x14ac:dyDescent="0.3">
      <c r="B41" t="s">
        <v>96</v>
      </c>
    </row>
    <row r="42" spans="1:6" x14ac:dyDescent="0.3">
      <c r="B42" s="31" t="s">
        <v>97</v>
      </c>
    </row>
    <row r="43" spans="1:6" x14ac:dyDescent="0.3">
      <c r="B43" s="31"/>
    </row>
    <row r="44" spans="1:6" x14ac:dyDescent="0.3">
      <c r="A44" t="s">
        <v>103</v>
      </c>
      <c r="B44" s="31" t="s">
        <v>102</v>
      </c>
    </row>
    <row r="45" spans="1:6" x14ac:dyDescent="0.3">
      <c r="B45" s="31" t="s">
        <v>99</v>
      </c>
    </row>
    <row r="46" spans="1:6" x14ac:dyDescent="0.3">
      <c r="B46" s="31" t="s">
        <v>104</v>
      </c>
    </row>
    <row r="47" spans="1:6" x14ac:dyDescent="0.3">
      <c r="B47" s="31" t="s">
        <v>107</v>
      </c>
    </row>
    <row r="48" spans="1:6" x14ac:dyDescent="0.3">
      <c r="B48" s="96" t="s">
        <v>108</v>
      </c>
      <c r="C48" s="97"/>
      <c r="D48" s="97"/>
      <c r="E48" s="97"/>
      <c r="F48" s="97"/>
    </row>
    <row r="49" spans="2:2" x14ac:dyDescent="0.3">
      <c r="B49" s="31" t="s">
        <v>100</v>
      </c>
    </row>
    <row r="50" spans="2:2" x14ac:dyDescent="0.3">
      <c r="B50" s="31" t="s">
        <v>101</v>
      </c>
    </row>
    <row r="51" spans="2:2" x14ac:dyDescent="0.3">
      <c r="B51" s="31"/>
    </row>
  </sheetData>
  <mergeCells count="66">
    <mergeCell ref="AB9:AD9"/>
    <mergeCell ref="AB1:AM2"/>
    <mergeCell ref="B2:W3"/>
    <mergeCell ref="AC3:AD3"/>
    <mergeCell ref="B4:W4"/>
    <mergeCell ref="B5:B6"/>
    <mergeCell ref="C5:C6"/>
    <mergeCell ref="D5:D6"/>
    <mergeCell ref="E5:E6"/>
    <mergeCell ref="F5:K5"/>
    <mergeCell ref="L5:L6"/>
    <mergeCell ref="M5:M6"/>
    <mergeCell ref="P5:P6"/>
    <mergeCell ref="Q5:T5"/>
    <mergeCell ref="U5:U6"/>
    <mergeCell ref="W5:W6"/>
    <mergeCell ref="W11:W12"/>
    <mergeCell ref="B10:E10"/>
    <mergeCell ref="B11:B12"/>
    <mergeCell ref="C11:C12"/>
    <mergeCell ref="D11:D12"/>
    <mergeCell ref="E11:E12"/>
    <mergeCell ref="G11:J11"/>
    <mergeCell ref="L11:L12"/>
    <mergeCell ref="M11:M12"/>
    <mergeCell ref="P11:P12"/>
    <mergeCell ref="Q11:T11"/>
    <mergeCell ref="U11:U12"/>
    <mergeCell ref="D23:D24"/>
    <mergeCell ref="E23:E24"/>
    <mergeCell ref="G23:J23"/>
    <mergeCell ref="AB13:AD13"/>
    <mergeCell ref="B15:E15"/>
    <mergeCell ref="B16:B17"/>
    <mergeCell ref="C16:C17"/>
    <mergeCell ref="D16:D17"/>
    <mergeCell ref="E16:E17"/>
    <mergeCell ref="G16:J16"/>
    <mergeCell ref="L16:L17"/>
    <mergeCell ref="M16:M17"/>
    <mergeCell ref="P16:P17"/>
    <mergeCell ref="Q16:T16"/>
    <mergeCell ref="U16:U17"/>
    <mergeCell ref="W16:W17"/>
    <mergeCell ref="B21:E21"/>
    <mergeCell ref="U22:W22"/>
    <mergeCell ref="R26:T26"/>
    <mergeCell ref="K23:K24"/>
    <mergeCell ref="L23:L24"/>
    <mergeCell ref="M23:M24"/>
    <mergeCell ref="N23:N24"/>
    <mergeCell ref="P23:P24"/>
    <mergeCell ref="Q23:Q24"/>
    <mergeCell ref="R23:T24"/>
    <mergeCell ref="U23:U24"/>
    <mergeCell ref="V23:V24"/>
    <mergeCell ref="W23:W24"/>
    <mergeCell ref="R25:T25"/>
    <mergeCell ref="B23:B24"/>
    <mergeCell ref="C23:C24"/>
    <mergeCell ref="R27:T27"/>
    <mergeCell ref="R28:T28"/>
    <mergeCell ref="R29:T29"/>
    <mergeCell ref="B30:E30"/>
    <mergeCell ref="R30:T30"/>
    <mergeCell ref="C31:T31"/>
  </mergeCells>
  <pageMargins left="0.7" right="0.7" top="0.75" bottom="0.75" header="0.3" footer="0.3"/>
  <pageSetup paperSize="9" scale="8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AGUSTUS 26</vt:lpstr>
      <vt:lpstr>'AGUSTUS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panjul</dc:creator>
  <cp:lastModifiedBy>kenn declouv</cp:lastModifiedBy>
  <cp:lastPrinted>2026-08-05T06:27:25Z</cp:lastPrinted>
  <dcterms:created xsi:type="dcterms:W3CDTF">2023-07-12T19:51:34Z</dcterms:created>
  <dcterms:modified xsi:type="dcterms:W3CDTF">2026-10-01T16:00:50Z</dcterms:modified>
</cp:coreProperties>
</file>